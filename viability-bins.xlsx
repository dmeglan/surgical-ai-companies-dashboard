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<sst xmlns="http://schemas.openxmlformats.org/spreadsheetml/2006/main" count="631" uniqueCount="342">
  <si>
    <t xml:space="preserve">Surgical AI viability bins: backing data for the 'Where the 151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</si>
  <si>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</si>
  <si>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</si>
  <si>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</si>
  <si>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</si>
  <si>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151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</si>
  <si>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</si>
  <si>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</si>
  <si>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</si>
  <si>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</si>
  <si>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</si>
  <si>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</si>
  <si>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</si>
  <si>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</si>
  <si>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</si>
  <si>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</si>
  <si>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</si>
  <si>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</si>
  <si>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</si>
  <si>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</si>
  <si>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</si>
  <si>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</si>
  <si>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</si>
  <si>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</si>
  <si>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</si>
  <si>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</si>
  <si>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</si>
  <si>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</si>
  <si>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</si>
  <si>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</si>
  <si>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</si>
  <si>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</si>
  <si>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</si>
  <si>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</si>
  <si>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</si>
  <si>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</si>
  <si>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</si>
  <si>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</si>
  <si>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</si>
  <si>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</si>
  <si>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</si>
  <si>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</si>
  <si>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</si>
  <si>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</si>
  <si>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</si>
  <si>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</si>
  <si>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</si>
  <si>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</si>
  <si>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</si>
  <si>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</si>
  <si>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</si>
  <si>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</si>
  <si>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</si>
  <si>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</si>
  <si>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</si>
  <si>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</si>
  <si>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</si>
  <si>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</si>
  <si>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</si>
  <si>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</si>
  <si>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</si>
  <si>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</si>
  <si>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</si>
  <si>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</si>
  <si>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</si>
  <si>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</si>
  <si>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</si>
  <si>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</si>
  <si>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</si>
  <si>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</si>
  <si>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</si>
  <si>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</si>
  <si>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</si>
  <si>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</si>
  <si>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</si>
  <si>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</si>
  <si>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</si>
  <si>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</si>
  <si>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</si>
  <si>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</si>
  <si>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</si>
  <si>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</si>
  <si>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</si>
  <si>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</si>
  <si>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</si>
  <si>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</si>
  <si>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</si>
  <si>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</si>
  <si>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</si>
  <si>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</si>
  <si>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</si>
  <si>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</si>
  <si>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</si>
  <si>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</si>
  <si>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</si>
  <si>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</si>
  <si>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</si>
  <si>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</si>
  <si>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</si>
  <si>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</si>
  <si>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</si>
  <si>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</si>
  <si>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</si>
  <si>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</si>
  <si>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</si>
  <si>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</si>
  <si>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</si>
  <si>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</si>
  <si>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</si>
  <si>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</si>
  <si>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</si>
  <si>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</si>
  <si>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</si>
  <si>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</si>
  <si>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</si>
  <si>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</si>
  <si>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</si>
  <si>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</si>
  <si>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</si>
  <si>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</si>
  <si>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</si>
  <si>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</si>
  <si>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</si>
  <si>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</si>
  <si>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</si>
  <si>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</si>
  <si>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</si>
  <si>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</si>
  <si>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</si>
  <si>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</si>
  <si>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</si>
  <si>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</si>
  <si>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</si>
  <si>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</si>
  <si>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</si>
  <si>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</si>
  <si>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</si>
  <si>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</si>
  <si>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</si>
  <si>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</si>
  <si>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</si>
  <si>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</si>
  <si>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</si>
  <si>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</si>
  <si>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</si>
  <si>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</si>
  <si>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</si>
  <si>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</si>
  <si>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</si>
  <si>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</si>
  <si>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</si>
  <si>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</si>
  <si>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</si>
  <si>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</si>
  <si>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</si>
  <si>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</si>
  <si>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</si>
  <si>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</si>
  <si>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</si>
  <si>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</si>
  <si>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</si>
  <si>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</si>
  <si>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</si>
  <si>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</si>
  <si>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</si>
  <si>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</si>
  <si>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</si>
  <si>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</si>
  <si>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</si>
  <si>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</si>
  <si>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</si>
  <si>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</si>
  <si>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</si>
  <si>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</si>
  <si>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</si>
  <si>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</si>
  <si>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</si>
  <si>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</si>
  <si>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</si>
  <si>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</si>
  <si>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</si>
  <si>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</si>
  <si>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</si>
  <si>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</si>
  <si>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</si>
  <si>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</si>
  <si>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</si>
  <si>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</si>
  <si>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</si>
  <si>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</si>
  <si>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</si>
  <si>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</si>
  <si>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</si>
  <si>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</si>
  <si>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</si>
  <si>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</si>
  <si>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</si>
  <si>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</si>
  <si>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</si>
  <si>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</si>
  <si>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</si>
  <si>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</si>
  <si>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</si>
  <si>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</si>
  <si>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</si>
  <si>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</si>
  <si>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</si>
  <si>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</si>
  <si>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</si>
  <si>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</si>
  <si>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</si>
  <si>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</si>
  <si>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</si>
  <si>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</si>
  <si>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</si>
  <si>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</si>
  <si>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</si>
  <si>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</si>
  <si>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</si>
  <si>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</si>
  <si>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</si>
  <si>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</si>
  <si>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</si>
  <si>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</si>
  <si>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</si>
  <si>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</si>
  <si>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</si>
  <si>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</si>
  <si>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</si>
  <si>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</si>
  <si>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</si>
  <si>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</si>
  <si>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</si>
  <si>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</si>
  <si>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</si>
  <si>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</si>
  <si>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</si>
  <si>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</si>
  <si>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</si>
  <si>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</si>
  <si>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</si>
  <si>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</si>
  <si>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</si>
  <si>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</si>
  <si>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</si>
  <si>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</si>
  <si>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</si>
  <si>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</si>
  <si>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</si>
  <si>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</si>
  <si>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</si>
  <si>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</si>
  <si>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</si>
  <si>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</si>
  <si>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</si>
  <si>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</si>
  <si>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</si>
  <si>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</si>
  <si>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</si>
  <si>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</si>
  <si>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</si>
  <si>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</si>
  <si>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</si>
  <si>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</si>
  <si>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</si>
  <si>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</si>
  <si>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</si>
  <si>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</si>
  <si>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</si>
  <si>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</si>
  <si>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</si>
  <si>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</si>
  <si>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</si>
  <si>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</si>
  <si>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</si>
  <si>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</si>
  <si>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</si>
  <si>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</si>
  <si>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</si>
  <si>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</si>
  <si>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</si>
  <si>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</si>
  <si>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</si>
  <si>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</si>
  <si>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</si>
  <si>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</si>
  <si>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</si>
  <si>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</si>
  <si>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</si>
  <si>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</si>
  <si>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</si>
  <si>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</si>
  <si>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</si>
  <si>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</si>
  <si>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</si>
  <si>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</si>
  <si>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</si>
  <si>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</si>
  <si>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</si>
  <si>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</si>
  <si>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</si>
  <si>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</si>
  <si>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</si>
  <si>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</si>
  <si>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</si>
  <si>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</si>
  <si>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</si>
  <si>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</si>
  <si>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</si>
  <si>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</si>
  <si>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</si>
  <si>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</si>
  <si>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</si>
  <si>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</si>
  <si>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</si>
  <si>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</si>
  <si>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</si>
  <si>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</si>
  <si>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</si>
  <si>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</si>
  <si>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</si>
  <si>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</si>
  <si>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</si>
  <si>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</si>
  <si>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</si>
  <si>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</si>
  <si>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</si>
  <si>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</si>
  <si>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</si>
  <si>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</si>
  <si>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</si>
  <si>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</si>
  <si>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</si>
  <si>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</si>
  <si>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</si>
  <si>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</si>
  <si>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</si>
  <si>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</si>
  <si>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</si>
  <si>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</si>
  <si>
    <t xml:space="preserve">Lambda Surgical</t>
  </si>
  <si>
    <t xml:space="preserve">Founded 2025, no disclosed funding and pre-clearance with cadaveric validation only; a time-of-flight sensing layer whose value depends on adoption by robot and scope platforms, so the outcome turns on the first partnership or financing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</si>
</sst>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f aca="false">COUNTIF(Companies!C:C,A5)</f>
        <v>10</v>
      </c>
      <c r="D5" s="8" t="n">
        <f aca="false">C5/151</f>
        <v>0.0662251655629139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f aca="false">COUNTIF(Companies!C:C,A6)</f>
        <v>5</v>
      </c>
      <c r="D6" s="8" t="n">
        <f aca="false">C6/151</f>
        <v>0.033112582781457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f aca="false">COUNTIF(Companies!C:C,A7)</f>
        <v>9</v>
      </c>
      <c r="D7" s="8" t="n">
        <f aca="false">C7/151</f>
        <v>0.0596026490066225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f aca="false">COUNTIF(Companies!C:C,A8)</f>
        <v>33</v>
      </c>
      <c r="D8" s="8" t="n">
        <f aca="false">C8/151</f>
        <v>0.218543046357616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f aca="false">COUNTIF(Companies!C:C,A9)</f>
        <v>25</v>
      </c>
      <c r="D9" s="8" t="n">
        <f aca="false">C9/151</f>
        <v>0.165562913907285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f aca="false">COUNTIF(Companies!C:C,A10)</f>
        <v>22</v>
      </c>
      <c r="D10" s="8" t="n">
        <f aca="false">C10/151</f>
        <v>0.145695364238411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f aca="false">COUNTIF(Companies!C:C,A11)</f>
        <v>37</v>
      </c>
      <c r="D11" s="8" t="n">
        <f aca="false">C11/151</f>
        <v>0.245033112582781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f aca="false">COUNTIF(Companies!C:C,A12)</f>
        <v>10</v>
      </c>
      <c r="D12" s="8" t="n">
        <f aca="false">C12/151</f>
        <v>0.0662251655629139</v>
      </c>
    </row>
    <row r="13" customFormat="false" ht="15" hidden="false" customHeight="true" outlineLevel="0" collapsed="false">
      <c r="A13" s="5" t="s">
        <v>22</v>
      </c>
      <c r="B13" s="9"/>
      <c r="C13" s="7" t="n">
        <f aca="false">SUM(C5:C12)</f>
        <v>151</v>
      </c>
      <c r="D13" s="8" t="n">
        <f aca="false">C13/151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25" hidden="false" customHeight="tru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  <row r="152" customFormat="false" ht="23.85" hidden="false" customHeight="false" outlineLevel="0" collapsed="false">
      <c r="A152" s="7" t="s">
        <v>340</v>
      </c>
      <c r="B152" s="7" t="s">
        <v>212</v>
      </c>
      <c r="C152" s="7" t="s">
        <v>18</v>
      </c>
      <c r="D152" s="6" t="s">
        <v>341</v>
      </c>
    </row>
  </sheetData>
  <autoFilter ref="A1:D1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2026-07-29T15:40:23Z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